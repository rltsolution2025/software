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-05\Desktop\"/>
    </mc:Choice>
  </mc:AlternateContent>
  <xr:revisionPtr revIDLastSave="0" documentId="13_ncr:1_{65736363-BCA3-41D4-9E64-125944F4230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ump" sheetId="1" r:id="rId1"/>
    <sheet name="Dosing pump" sheetId="6" r:id="rId2"/>
    <sheet name="Evaporator" sheetId="2" r:id="rId3"/>
    <sheet name="MBR" sheetId="3" r:id="rId4"/>
    <sheet name="Filters" sheetId="4" r:id="rId5"/>
    <sheet name="Scrapp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6" l="1"/>
  <c r="R4" i="6"/>
  <c r="R3" i="6"/>
  <c r="R2" i="6"/>
  <c r="S3" i="1"/>
  <c r="S4" i="1"/>
  <c r="S5" i="1"/>
  <c r="S6" i="1"/>
  <c r="S7" i="1"/>
  <c r="S2" i="1"/>
</calcChain>
</file>

<file path=xl/sharedStrings.xml><?xml version="1.0" encoding="utf-8"?>
<sst xmlns="http://schemas.openxmlformats.org/spreadsheetml/2006/main" count="307" uniqueCount="71">
  <si>
    <t>Vendor name</t>
  </si>
  <si>
    <t>Make</t>
  </si>
  <si>
    <t>Instument</t>
  </si>
  <si>
    <t>MOC</t>
  </si>
  <si>
    <t>Flow Rate</t>
  </si>
  <si>
    <t>Discharge</t>
  </si>
  <si>
    <t>Head</t>
  </si>
  <si>
    <t>Diameter</t>
  </si>
  <si>
    <t>Type</t>
  </si>
  <si>
    <t>Model No</t>
  </si>
  <si>
    <t>Standars</t>
  </si>
  <si>
    <t>Deviation</t>
  </si>
  <si>
    <t>Offer No</t>
  </si>
  <si>
    <t>Reference No</t>
  </si>
  <si>
    <t>Capacity</t>
  </si>
  <si>
    <t>Line Size</t>
  </si>
  <si>
    <t>KSB Pumps</t>
  </si>
  <si>
    <t>REF001</t>
  </si>
  <si>
    <t>OFF-2025-01</t>
  </si>
  <si>
    <t>AquaTech Engineers</t>
  </si>
  <si>
    <t>KS1000</t>
  </si>
  <si>
    <t>Nil</t>
  </si>
  <si>
    <t>ISO 9001</t>
  </si>
  <si>
    <t>Pressure Gauge</t>
  </si>
  <si>
    <t>SS316</t>
  </si>
  <si>
    <t>Centrifugal</t>
  </si>
  <si>
    <t>Grundfos</t>
  </si>
  <si>
    <t>REF002</t>
  </si>
  <si>
    <t>OFF-2025-02</t>
  </si>
  <si>
    <t>HydroFlow Pvt Ltd</t>
  </si>
  <si>
    <t>GR-400</t>
  </si>
  <si>
    <t>Minor</t>
  </si>
  <si>
    <t>ASTM B584</t>
  </si>
  <si>
    <t>Flow Meter</t>
  </si>
  <si>
    <t>CI</t>
  </si>
  <si>
    <t>Submersible</t>
  </si>
  <si>
    <t>Kirloskar</t>
  </si>
  <si>
    <t>REF003</t>
  </si>
  <si>
    <t>OFF-2025-03</t>
  </si>
  <si>
    <t>FluidTech Systems</t>
  </si>
  <si>
    <t>KIR-300</t>
  </si>
  <si>
    <t>None</t>
  </si>
  <si>
    <t>ISO 5199</t>
  </si>
  <si>
    <t>Level Sensor</t>
  </si>
  <si>
    <t>CS</t>
  </si>
  <si>
    <t>End Suction</t>
  </si>
  <si>
    <t>Crompton</t>
  </si>
  <si>
    <t>REF004</t>
  </si>
  <si>
    <t>OFF-2025-04</t>
  </si>
  <si>
    <t>AquaLine Industries</t>
  </si>
  <si>
    <t>CR-250</t>
  </si>
  <si>
    <t>Yes</t>
  </si>
  <si>
    <t>API 610</t>
  </si>
  <si>
    <t>Pressure Transmitter</t>
  </si>
  <si>
    <t>SS304</t>
  </si>
  <si>
    <t>Mono Block</t>
  </si>
  <si>
    <t>Wilo</t>
  </si>
  <si>
    <t>REF005</t>
  </si>
  <si>
    <t>OFF-2025-05</t>
  </si>
  <si>
    <t>FlowMax Engineers</t>
  </si>
  <si>
    <t>W-500</t>
  </si>
  <si>
    <t>DIN 24255</t>
  </si>
  <si>
    <t>Flow Switch</t>
  </si>
  <si>
    <t>Bronze</t>
  </si>
  <si>
    <t>Vertical Multistage</t>
  </si>
  <si>
    <t>REF006</t>
  </si>
  <si>
    <t>OFF-2025-06</t>
  </si>
  <si>
    <t>Kirlo</t>
  </si>
  <si>
    <t>Price</t>
  </si>
  <si>
    <t>Quantity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</si>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</sst>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opLeftCell="B1" workbookViewId="0">
      <selection activeCell="B1" sqref="B1:S5"/>
    </sheetView>
  </sheetViews>
  <sheetFormatPr defaultRowHeight="15" x14ac:dyDescent="0.25"/>
  <cols>
    <col min="1" max="1" width="10.28515625" style="1" customWidth="1"/>
    <col min="2" max="2" width="13.28515625" style="1" bestFit="1" customWidth="1"/>
    <col min="3" max="3" width="11.85546875" style="1" customWidth="1"/>
    <col min="4" max="4" width="13.140625" style="1" bestFit="1" customWidth="1"/>
    <col min="5" max="7" width="9.140625" style="1"/>
    <col min="8" max="8" width="10.140625" style="1" bestFit="1" customWidth="1"/>
    <col min="9" max="13" width="9.140625" style="1"/>
    <col min="14" max="14" width="12.5703125" style="1" customWidth="1"/>
    <col min="15" max="16" width="9.140625" style="1"/>
    <col min="19" max="19" width="13.140625" style="1" bestFit="1" customWidth="1"/>
  </cols>
  <sheetData>
    <row r="1" spans="1:19" s="1" customFormat="1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  <c r="Q1" s="1" t="s">
        <v>69</v>
      </c>
      <c r="R1" s="1" t="s">
        <v>68</v>
      </c>
      <c r="S1" s="1" t="s">
        <v>70</v>
      </c>
    </row>
    <row r="2" spans="1:19" ht="3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  <c r="Q2" s="2">
        <v>5</v>
      </c>
      <c r="R2" s="2">
        <v>100000</v>
      </c>
      <c r="S2" s="1">
        <f>R2*Q2</f>
        <v>500000</v>
      </c>
    </row>
    <row r="3" spans="1:19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  <c r="Q3" s="2">
        <v>2</v>
      </c>
      <c r="R3" s="2">
        <v>100000</v>
      </c>
      <c r="S3" s="1">
        <f t="shared" ref="S3:S7" si="0">R3*Q3</f>
        <v>200000</v>
      </c>
    </row>
    <row r="4" spans="1:19" ht="30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  <c r="Q4" s="2">
        <v>1</v>
      </c>
      <c r="R4" s="2">
        <v>500000</v>
      </c>
      <c r="S4" s="1">
        <f t="shared" si="0"/>
        <v>500000</v>
      </c>
    </row>
    <row r="5" spans="1:19" ht="45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160</v>
      </c>
      <c r="K5" s="2">
        <v>120</v>
      </c>
      <c r="L5" s="2">
        <v>45</v>
      </c>
      <c r="M5" s="2">
        <v>80</v>
      </c>
      <c r="N5" s="2" t="s">
        <v>55</v>
      </c>
      <c r="O5" s="2">
        <v>7000</v>
      </c>
      <c r="P5" s="2">
        <v>3</v>
      </c>
      <c r="Q5" s="2">
        <v>6</v>
      </c>
      <c r="R5" s="2">
        <v>100000</v>
      </c>
      <c r="S5" s="1">
        <f t="shared" si="0"/>
        <v>600000</v>
      </c>
    </row>
    <row r="6" spans="1:19" ht="30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21</v>
      </c>
      <c r="G6" s="2" t="s">
        <v>61</v>
      </c>
      <c r="H6" s="2" t="s">
        <v>62</v>
      </c>
      <c r="I6" s="2" t="s">
        <v>63</v>
      </c>
      <c r="J6" s="2">
        <v>210</v>
      </c>
      <c r="K6" s="2">
        <v>180</v>
      </c>
      <c r="L6" s="2">
        <v>65</v>
      </c>
      <c r="M6" s="2">
        <v>100</v>
      </c>
      <c r="N6" s="2" t="s">
        <v>64</v>
      </c>
      <c r="O6" s="2">
        <v>9000</v>
      </c>
      <c r="P6" s="2">
        <v>4</v>
      </c>
      <c r="Q6" s="2">
        <v>7</v>
      </c>
      <c r="R6" s="2">
        <v>100000</v>
      </c>
      <c r="S6" s="1">
        <f t="shared" si="0"/>
        <v>700000</v>
      </c>
    </row>
    <row r="7" spans="1:19" ht="30" x14ac:dyDescent="0.25">
      <c r="A7" s="2" t="s">
        <v>67</v>
      </c>
      <c r="B7" s="2" t="s">
        <v>65</v>
      </c>
      <c r="C7" s="2" t="s">
        <v>66</v>
      </c>
      <c r="D7" s="2" t="s">
        <v>49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>
        <v>180</v>
      </c>
      <c r="K7" s="2">
        <v>140</v>
      </c>
      <c r="L7" s="2">
        <v>45</v>
      </c>
      <c r="M7" s="2">
        <v>80</v>
      </c>
      <c r="N7" s="2" t="s">
        <v>55</v>
      </c>
      <c r="O7" s="2">
        <v>7000</v>
      </c>
      <c r="P7" s="2">
        <v>3</v>
      </c>
      <c r="Q7" s="2">
        <v>8</v>
      </c>
      <c r="R7" s="2">
        <v>100000</v>
      </c>
      <c r="S7" s="1">
        <f t="shared" si="0"/>
        <v>800000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5A29-C3AF-46AA-A65D-802D8978CF88}">
  <dimension ref="A1:R5"/>
  <sheetViews>
    <sheetView tabSelected="1" workbookViewId="0">
      <selection sqref="A1:R5"/>
    </sheetView>
  </sheetViews>
  <sheetFormatPr defaultRowHeight="15" x14ac:dyDescent="0.25"/>
  <sheetData>
    <row r="1" spans="1:18" x14ac:dyDescent="0.25">
      <c r="A1" s="1" t="s">
        <v>13</v>
      </c>
      <c r="B1" s="1" t="s">
        <v>12</v>
      </c>
      <c r="C1" s="1" t="s">
        <v>0</v>
      </c>
      <c r="D1" s="1" t="s">
        <v>9</v>
      </c>
      <c r="E1" s="1" t="s">
        <v>11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14</v>
      </c>
      <c r="O1" s="1" t="s">
        <v>15</v>
      </c>
      <c r="P1" s="1" t="s">
        <v>69</v>
      </c>
      <c r="Q1" s="1" t="s">
        <v>68</v>
      </c>
      <c r="R1" s="1" t="s">
        <v>70</v>
      </c>
    </row>
    <row r="2" spans="1:18" ht="60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120</v>
      </c>
      <c r="J2" s="2">
        <v>100</v>
      </c>
      <c r="K2" s="2">
        <v>50</v>
      </c>
      <c r="L2" s="2">
        <v>80</v>
      </c>
      <c r="M2" s="2" t="s">
        <v>25</v>
      </c>
      <c r="N2" s="2">
        <v>5000</v>
      </c>
      <c r="O2" s="2">
        <v>3</v>
      </c>
      <c r="P2" s="2">
        <v>5</v>
      </c>
      <c r="Q2" s="2">
        <v>100000</v>
      </c>
      <c r="R2" s="1">
        <f>Q2*P2</f>
        <v>500000</v>
      </c>
    </row>
    <row r="3" spans="1:18" ht="30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200</v>
      </c>
      <c r="J3" s="2">
        <v>150</v>
      </c>
      <c r="K3" s="2">
        <v>60</v>
      </c>
      <c r="L3" s="2">
        <v>100</v>
      </c>
      <c r="M3" s="2" t="s">
        <v>35</v>
      </c>
      <c r="N3" s="2">
        <v>8000</v>
      </c>
      <c r="O3" s="2">
        <v>4</v>
      </c>
      <c r="P3" s="2">
        <v>2</v>
      </c>
      <c r="Q3" s="2">
        <v>100000</v>
      </c>
      <c r="R3" s="1">
        <f t="shared" ref="R3:R5" si="0">Q3*P3</f>
        <v>200000</v>
      </c>
    </row>
    <row r="4" spans="1:18" ht="45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>
        <v>180</v>
      </c>
      <c r="J4" s="2">
        <v>140</v>
      </c>
      <c r="K4" s="2">
        <v>55</v>
      </c>
      <c r="L4" s="2">
        <v>90</v>
      </c>
      <c r="M4" s="2" t="s">
        <v>45</v>
      </c>
      <c r="N4" s="2">
        <v>6500</v>
      </c>
      <c r="O4" s="2">
        <v>3.5</v>
      </c>
      <c r="P4" s="2">
        <v>1</v>
      </c>
      <c r="Q4" s="2">
        <v>500000</v>
      </c>
      <c r="R4" s="1">
        <f t="shared" si="0"/>
        <v>500000</v>
      </c>
    </row>
    <row r="5" spans="1:18" ht="60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>
        <v>160</v>
      </c>
      <c r="J5" s="2">
        <v>120</v>
      </c>
      <c r="K5" s="2">
        <v>45</v>
      </c>
      <c r="L5" s="2">
        <v>80</v>
      </c>
      <c r="M5" s="2" t="s">
        <v>55</v>
      </c>
      <c r="N5" s="2">
        <v>7000</v>
      </c>
      <c r="O5" s="2">
        <v>3</v>
      </c>
      <c r="P5" s="2">
        <v>6</v>
      </c>
      <c r="Q5" s="2">
        <v>100000</v>
      </c>
      <c r="R5" s="1">
        <f t="shared" si="0"/>
        <v>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9179-76BE-45DD-8E32-B9799B3DD077}">
  <dimension ref="A1:P4"/>
  <sheetViews>
    <sheetView workbookViewId="0">
      <selection sqref="A1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ht="45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AC8B-E58F-4AEE-9E91-40CEAC3122CB}">
  <dimension ref="A1:P4"/>
  <sheetViews>
    <sheetView workbookViewId="0">
      <selection activeCell="P6" sqref="P6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1B-B7FC-4C7B-85F8-1E4FBC56B23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3B0-D5EE-4416-B73E-487D6C659A9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Pump</vt:lpstr>
      <vt:lpstr>Dosing pump</vt:lpstr>
      <vt:lpstr>Evaporator</vt:lpstr>
      <vt:lpstr>MBR</vt:lpstr>
      <vt:lpstr>Filters</vt:lpstr>
      <vt:lpstr>Scrapper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DELL-05</dc:creator>
  <cp:lastModifiedBy>DELL-05</cp:lastModifiedBy>
  <dcterms:created xsi:type="dcterms:W3CDTF">2015-06-05T18:17:20Z</dcterms:created>
  <dcterms:modified xsi:type="dcterms:W3CDTF">2025-11-08T09:34:05Z</dcterms:modified>
</cp:coreProperties>
</file>