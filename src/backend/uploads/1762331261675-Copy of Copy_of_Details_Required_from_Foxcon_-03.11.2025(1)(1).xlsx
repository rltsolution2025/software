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10CA4FB1-A979-432B-B1F6-58405FC728E8}" xr6:coauthVersionLast="47" xr6:coauthVersionMax="47" xr10:uidLastSave="{00000000-0000-0000-0000-000000000000}"/>
  <bookViews>
    <workbookView xWindow="-120" yWindow="-120" windowWidth="20730" windowHeight="11040" tabRatio="601" activeTab="3" xr2:uid="{00000000-000D-0000-FFFF-FFFF00000000}"/>
  </bookViews>
  <sheets>
    <sheet name="Comparison of Flow " sheetId="6" r:id="rId1"/>
    <sheet name="Requirement" sheetId="7" r:id="rId2"/>
    <sheet name="Addition &amp; Deletion" sheetId="9" r:id="rId3"/>
    <sheet name="Long Lead Items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6" l="1"/>
  <c r="N36" i="6"/>
  <c r="L36" i="6"/>
  <c r="D10" i="6"/>
  <c r="C14" i="6"/>
  <c r="D14" i="6"/>
  <c r="C10" i="6"/>
</calcChain>
</file>

<file path=xl/sharedStrings.xml><?xml version="1.0" encoding="utf-8"?>
<sst xmlns="http://schemas.openxmlformats.org/spreadsheetml/2006/main" count="131" uniqueCount="99">
  <si>
    <t>ETP</t>
  </si>
  <si>
    <t>Heavy Metal Waste water</t>
  </si>
  <si>
    <t>High con Phosphrous Waste water</t>
  </si>
  <si>
    <t xml:space="preserve">Comprehensive Waste water </t>
  </si>
  <si>
    <t>VI Cleaning Water</t>
  </si>
  <si>
    <t>Waste Liquid minimization</t>
  </si>
  <si>
    <t xml:space="preserve">Organic Waste water </t>
  </si>
  <si>
    <t>Zero Liquid Discharge system</t>
  </si>
  <si>
    <t>WTP</t>
  </si>
  <si>
    <t>DI</t>
  </si>
  <si>
    <t>KLD</t>
  </si>
  <si>
    <t>TOTAL</t>
  </si>
  <si>
    <t>Nickel liquid</t>
  </si>
  <si>
    <t>Nickel water rinsing</t>
  </si>
  <si>
    <t>Washing water</t>
  </si>
  <si>
    <t>Phosphoric WW</t>
  </si>
  <si>
    <t>Waste scraping water</t>
  </si>
  <si>
    <t>Coolant</t>
  </si>
  <si>
    <t>VI Waste dip bath liquid</t>
  </si>
  <si>
    <t>Dyeing bath liquid</t>
  </si>
  <si>
    <t>VI Rinsing WW</t>
  </si>
  <si>
    <t>Waste acid liquid</t>
  </si>
  <si>
    <t>Comprehensive acid WW</t>
  </si>
  <si>
    <t>Waste Alkali liquid</t>
  </si>
  <si>
    <t>Comprehensive alkali WW</t>
  </si>
  <si>
    <t>Organic rinsing water</t>
  </si>
  <si>
    <t>Organic other rinsing water</t>
  </si>
  <si>
    <t>WTP reject</t>
  </si>
  <si>
    <t>DI concentrated water</t>
  </si>
  <si>
    <t>Boiler waste liquid</t>
  </si>
  <si>
    <t>STREAM-02</t>
  </si>
  <si>
    <t>STREAM-04</t>
  </si>
  <si>
    <t>STREAM-06</t>
  </si>
  <si>
    <t>STREAM-01    (Heavy Metal Waste water)</t>
  </si>
  <si>
    <t>STREAM-05   (Comprehensive Waste water )</t>
  </si>
  <si>
    <t>STREAM-03   (Waste Liquid minimization)</t>
  </si>
  <si>
    <t>PCB</t>
  </si>
  <si>
    <t>STP</t>
  </si>
  <si>
    <t>ETP-1</t>
  </si>
  <si>
    <t>ETP-2</t>
  </si>
  <si>
    <t>DM-1</t>
  </si>
  <si>
    <t>DM-2</t>
  </si>
  <si>
    <t>PROJECTION</t>
  </si>
  <si>
    <t>Oraganic bath solution</t>
  </si>
  <si>
    <t>P&amp;ID</t>
  </si>
  <si>
    <t>i</t>
  </si>
  <si>
    <t>ii</t>
  </si>
  <si>
    <t>iii</t>
  </si>
  <si>
    <t>iv</t>
  </si>
  <si>
    <t>v</t>
  </si>
  <si>
    <t>vi</t>
  </si>
  <si>
    <t>vii</t>
  </si>
  <si>
    <t xml:space="preserve">Input Characterstics </t>
  </si>
  <si>
    <t xml:space="preserve">Source &amp; Input Characterstics </t>
  </si>
  <si>
    <t>viii</t>
  </si>
  <si>
    <t>ix</t>
  </si>
  <si>
    <t>x</t>
  </si>
  <si>
    <t>Methods to control the Dosage according to Input Characterstics</t>
  </si>
  <si>
    <t>Water requirement for Cooling Tower &amp; the Source</t>
  </si>
  <si>
    <t>Volume &amp; Treatment scheme for the Coolents from Machinaries</t>
  </si>
  <si>
    <t>Sr No</t>
  </si>
  <si>
    <t>Long Lead Items</t>
  </si>
  <si>
    <t>Approval on TDS</t>
  </si>
  <si>
    <t>Manufacturing clearance</t>
  </si>
  <si>
    <t>Lead time in days</t>
  </si>
  <si>
    <t>Custom &amp; Shipment clearance in days</t>
  </si>
  <si>
    <t>Delivery on Site</t>
  </si>
  <si>
    <t>PROJECT TOTAL QTY</t>
  </si>
  <si>
    <t>UNITS</t>
  </si>
  <si>
    <t>MVR</t>
  </si>
  <si>
    <t>Submission of TDS    in days</t>
  </si>
  <si>
    <t>MBR</t>
  </si>
  <si>
    <t>Cryogenic</t>
  </si>
  <si>
    <t>Submersible Mixers</t>
  </si>
  <si>
    <t>Air Suspension Blowers</t>
  </si>
  <si>
    <t xml:space="preserve">Recycling Mixer ( Surmersible type) with inventor </t>
  </si>
  <si>
    <t>Bio Cord</t>
  </si>
  <si>
    <t>Required Immediately for Construction</t>
  </si>
  <si>
    <t>Foundation Bolts</t>
  </si>
  <si>
    <t>Puddle Flanges</t>
  </si>
  <si>
    <t>Sleeves</t>
  </si>
  <si>
    <t>DM</t>
  </si>
  <si>
    <t>Addition</t>
  </si>
  <si>
    <t>Deletion</t>
  </si>
  <si>
    <t>Change of Spec</t>
  </si>
  <si>
    <t>Dosage control for all dosing pumps in respect to input quality</t>
  </si>
  <si>
    <t>Instrumentation:- Display &amp; Control</t>
  </si>
  <si>
    <t>Flow Meters missing at many places</t>
  </si>
  <si>
    <t>xi</t>
  </si>
  <si>
    <t>Aquastic hood for Blowers &amp; AODP Pumps as per TNPCB Norms</t>
  </si>
  <si>
    <t>xii</t>
  </si>
  <si>
    <t>Laboratory equipments as per NABL Norms</t>
  </si>
  <si>
    <t>Belt Filter Press to Screw Press for better perfomance &amp; Maintenace</t>
  </si>
  <si>
    <t>Propsed as per the revised P&amp;ID</t>
  </si>
  <si>
    <t>Comparison</t>
  </si>
  <si>
    <t>PROJECT</t>
  </si>
  <si>
    <t>Rectangular tank with Submerged Scrapper- T-01 &amp; T-06 to be changed to Circular Top mounting for better perfomance &amp; Maintenance</t>
  </si>
  <si>
    <t>Rectangular tank with  Submerged Scrapper- T-02 -A/B to be changed to Circular Top mounting for better perfomance &amp; Maintenance</t>
  </si>
  <si>
    <t>Requirement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</si>
</sst>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right"/>
    </xf>
    <xf numFmtId="0" fontId="2" fillId="2" borderId="1" xfId="0" applyFont="1" applyFill="1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1" fillId="0" borderId="0" xfId="0" applyFont="1" applyBorder="1"/>
    <xf numFmtId="0" fontId="3" fillId="0" borderId="1" xfId="0" applyFont="1" applyBorder="1"/>
    <xf numFmtId="0" fontId="2" fillId="0" borderId="1" xfId="0" applyFont="1" applyBorder="1"/>
    <xf numFmtId="0" fontId="1" fillId="0" borderId="0" xfId="0" applyFont="1" applyFill="1" applyAlignment="1"/>
    <xf numFmtId="0" fontId="1" fillId="0" borderId="0" xfId="0" applyFont="1" applyFill="1"/>
    <xf numFmtId="0" fontId="2" fillId="0" borderId="0" xfId="0" applyFont="1" applyBorder="1"/>
    <xf numFmtId="0" fontId="1" fillId="0" borderId="6" xfId="0" applyFont="1" applyBorder="1"/>
    <xf numFmtId="0" fontId="1" fillId="0" borderId="1" xfId="0" applyFont="1" applyFill="1" applyBorder="1"/>
    <xf numFmtId="0" fontId="1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1" fillId="0" borderId="1" xfId="0" applyFont="1" applyFill="1" applyBorder="1" applyAlignment="1">
      <alignment wrapText="1"/>
    </xf>
    <xf numFmtId="0" fontId="1" fillId="0" borderId="6" xfId="0" applyFont="1" applyFill="1" applyBorder="1"/>
    <xf numFmtId="0" fontId="2" fillId="0" borderId="0" xfId="0" applyFont="1" applyFill="1"/>
    <xf numFmtId="0" fontId="1" fillId="0" borderId="0" xfId="0" applyFont="1" applyFill="1" applyBorder="1" applyAlignment="1"/>
    <xf numFmtId="0" fontId="1" fillId="0" borderId="7" xfId="0" applyFont="1" applyBorder="1"/>
    <xf numFmtId="0" fontId="1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Border="1" applyAlignment="1">
      <alignment horizontal="left"/>
    </xf>
    <xf numFmtId="17" fontId="4" fillId="4" borderId="9" xfId="0" applyNumberFormat="1" applyFont="1" applyFill="1" applyBorder="1" applyAlignment="1">
      <alignment horizontal="center" vertical="center" wrapText="1"/>
    </xf>
    <xf numFmtId="17" fontId="4" fillId="4" borderId="10" xfId="0" applyNumberFormat="1" applyFont="1" applyFill="1" applyBorder="1" applyAlignment="1">
      <alignment horizontal="center" vertical="center" wrapText="1"/>
    </xf>
    <xf numFmtId="17" fontId="4" fillId="4" borderId="11" xfId="0" applyNumberFormat="1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/>
    </xf>
    <xf numFmtId="0" fontId="5" fillId="0" borderId="0" xfId="0" applyFont="1" applyAlignment="1">
      <alignment horizontal="left" indent="1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19" xfId="0" applyFont="1" applyBorder="1" applyAlignment="1">
      <alignment horizontal="center"/>
    </xf>
    <xf numFmtId="0" fontId="4" fillId="0" borderId="1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left"/>
    </xf>
    <xf numFmtId="0" fontId="5" fillId="0" borderId="2" xfId="0" applyFont="1" applyFill="1" applyBorder="1"/>
    <xf numFmtId="0" fontId="5" fillId="0" borderId="13" xfId="0" applyFont="1" applyFill="1" applyBorder="1" applyAlignment="1">
      <alignment horizontal="center"/>
    </xf>
    <xf numFmtId="0" fontId="5" fillId="0" borderId="13" xfId="0" applyFont="1" applyFill="1" applyBorder="1"/>
    <xf numFmtId="0" fontId="5" fillId="0" borderId="14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left" indent="1"/>
    </xf>
    <xf numFmtId="14" fontId="5" fillId="0" borderId="1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14" fontId="5" fillId="0" borderId="3" xfId="0" applyNumberFormat="1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5" fillId="0" borderId="15" xfId="0" applyFont="1" applyFill="1" applyBorder="1" applyAlignment="1">
      <alignment horizontal="center"/>
    </xf>
    <xf numFmtId="0" fontId="5" fillId="0" borderId="16" xfId="0" applyFont="1" applyFill="1" applyBorder="1" applyAlignment="1">
      <alignment horizontal="left" indent="1"/>
    </xf>
    <xf numFmtId="14" fontId="5" fillId="0" borderId="16" xfId="0" applyNumberFormat="1" applyFont="1" applyFill="1" applyBorder="1" applyAlignment="1">
      <alignment horizontal="center"/>
    </xf>
    <xf numFmtId="0" fontId="5" fillId="0" borderId="16" xfId="0" applyFont="1" applyFill="1" applyBorder="1" applyAlignment="1">
      <alignment horizontal="center"/>
    </xf>
    <xf numFmtId="14" fontId="5" fillId="0" borderId="17" xfId="0" applyNumberFormat="1" applyFont="1" applyFill="1" applyBorder="1" applyAlignment="1">
      <alignment horizontal="center"/>
    </xf>
    <xf numFmtId="0" fontId="5" fillId="0" borderId="17" xfId="0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/>
    </xf>
    <xf numFmtId="0" fontId="5" fillId="0" borderId="10" xfId="0" applyFont="1" applyFill="1" applyBorder="1" applyAlignment="1">
      <alignment horizontal="left" indent="1"/>
    </xf>
    <xf numFmtId="14" fontId="5" fillId="0" borderId="10" xfId="0" applyNumberFormat="1" applyFont="1" applyFill="1" applyBorder="1" applyAlignment="1">
      <alignment horizontal="center"/>
    </xf>
    <xf numFmtId="0" fontId="5" fillId="0" borderId="10" xfId="0" applyFont="1" applyFill="1" applyBorder="1" applyAlignment="1">
      <alignment horizontal="center"/>
    </xf>
    <xf numFmtId="14" fontId="5" fillId="0" borderId="11" xfId="0" applyNumberFormat="1" applyFont="1" applyFill="1" applyBorder="1" applyAlignment="1">
      <alignment horizontal="center"/>
    </xf>
    <xf numFmtId="0" fontId="5" fillId="0" borderId="11" xfId="0" applyFont="1" applyFill="1" applyBorder="1" applyAlignment="1">
      <alignment horizontal="center"/>
    </xf>
    <xf numFmtId="0" fontId="6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1" xfId="0" applyFont="1" applyBorder="1" applyAlignment="1">
      <alignment horizontal="left"/>
    </xf>
    <xf numFmtId="0" fontId="2" fillId="3" borderId="8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0" xfId="0" applyFont="1" applyAlignment="1">
      <alignment horizontal="left" wrapText="1"/>
    </xf>
    <xf numFmtId="0" fontId="7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workbookViewId="0">
      <selection activeCell="G46" sqref="G46"/>
    </sheetView>
  </sheetViews>
  <sheetFormatPr defaultRowHeight="15" x14ac:dyDescent="0.2"/>
  <cols>
    <col min="1" max="1" width="3.5703125" style="1" customWidth="1"/>
    <col min="2" max="2" width="7.85546875" style="1" bestFit="1" customWidth="1"/>
    <col min="3" max="3" width="9" style="1" bestFit="1" customWidth="1"/>
    <col min="4" max="4" width="10.7109375" style="1" customWidth="1"/>
    <col min="5" max="5" width="2.5703125" style="8" customWidth="1"/>
    <col min="6" max="6" width="5.7109375" style="1" customWidth="1"/>
    <col min="7" max="7" width="35" style="1" customWidth="1"/>
    <col min="8" max="8" width="8.42578125" style="1" customWidth="1"/>
    <col min="9" max="9" width="2" style="1" customWidth="1"/>
    <col min="10" max="10" width="3.85546875" style="1" bestFit="1" customWidth="1"/>
    <col min="11" max="11" width="27.5703125" style="1" customWidth="1"/>
    <col min="12" max="12" width="10.28515625" style="1" bestFit="1" customWidth="1"/>
    <col min="13" max="13" width="2.5703125" style="1" customWidth="1"/>
    <col min="14" max="16384" width="9.140625" style="1"/>
  </cols>
  <sheetData>
    <row r="1" spans="1:14" ht="15.75" customHeight="1" x14ac:dyDescent="0.2">
      <c r="A1" s="64" t="s">
        <v>94</v>
      </c>
      <c r="B1" s="64"/>
      <c r="C1" s="64"/>
      <c r="D1" s="64"/>
      <c r="F1" s="66"/>
      <c r="G1" s="66"/>
      <c r="H1" s="66"/>
      <c r="J1" s="64" t="s">
        <v>93</v>
      </c>
      <c r="K1" s="64"/>
      <c r="L1" s="64"/>
      <c r="M1" s="64"/>
      <c r="N1" s="64"/>
    </row>
    <row r="2" spans="1:14" ht="15.75" customHeight="1" x14ac:dyDescent="0.2">
      <c r="A2" s="65"/>
      <c r="B2" s="65"/>
      <c r="C2" s="65"/>
      <c r="D2" s="65"/>
      <c r="F2" s="66"/>
      <c r="G2" s="66"/>
      <c r="H2" s="66"/>
      <c r="J2" s="64"/>
      <c r="K2" s="64"/>
      <c r="L2" s="64"/>
      <c r="M2" s="64"/>
      <c r="N2" s="64"/>
    </row>
    <row r="3" spans="1:14" ht="16.5" thickBot="1" x14ac:dyDescent="0.3">
      <c r="A3" s="3"/>
      <c r="B3" s="3"/>
      <c r="C3" s="3" t="s">
        <v>36</v>
      </c>
      <c r="D3" s="3" t="s">
        <v>95</v>
      </c>
      <c r="E3" s="21"/>
      <c r="F3" s="70" t="s">
        <v>42</v>
      </c>
      <c r="G3" s="70"/>
      <c r="H3" s="70"/>
      <c r="I3" s="11"/>
      <c r="J3" s="68" t="s">
        <v>44</v>
      </c>
      <c r="K3" s="68"/>
      <c r="L3" s="68"/>
      <c r="M3" s="68"/>
      <c r="N3" s="68"/>
    </row>
    <row r="4" spans="1:14" ht="16.5" thickBot="1" x14ac:dyDescent="0.3">
      <c r="A4" s="3"/>
      <c r="B4" s="3"/>
      <c r="C4" s="3"/>
      <c r="D4" s="3"/>
      <c r="F4" s="22"/>
      <c r="G4" s="6" t="s">
        <v>0</v>
      </c>
      <c r="H4" s="7" t="s">
        <v>10</v>
      </c>
      <c r="J4" s="72" t="s">
        <v>33</v>
      </c>
      <c r="K4" s="72"/>
      <c r="L4" s="72"/>
      <c r="M4" s="72"/>
      <c r="N4" s="72"/>
    </row>
    <row r="5" spans="1:14" ht="15.75" x14ac:dyDescent="0.25">
      <c r="A5" s="3">
        <v>1</v>
      </c>
      <c r="B5" s="10" t="s">
        <v>8</v>
      </c>
      <c r="C5" s="3">
        <v>3372.5</v>
      </c>
      <c r="D5" s="3">
        <v>7000</v>
      </c>
      <c r="F5" s="23">
        <v>1</v>
      </c>
      <c r="G5" s="3" t="s">
        <v>1</v>
      </c>
      <c r="H5" s="9">
        <v>207</v>
      </c>
      <c r="J5" s="15">
        <v>1</v>
      </c>
      <c r="K5" s="15" t="s">
        <v>12</v>
      </c>
      <c r="L5" s="15">
        <v>11.52</v>
      </c>
      <c r="M5" s="12"/>
      <c r="N5" s="73">
        <v>206.51</v>
      </c>
    </row>
    <row r="6" spans="1:14" ht="16.5" thickBot="1" x14ac:dyDescent="0.3">
      <c r="A6" s="3"/>
      <c r="B6" s="10"/>
      <c r="C6" s="3"/>
      <c r="D6" s="3"/>
      <c r="F6" s="23">
        <v>2</v>
      </c>
      <c r="G6" s="3" t="s">
        <v>2</v>
      </c>
      <c r="H6" s="3">
        <v>642</v>
      </c>
      <c r="J6" s="15">
        <v>2</v>
      </c>
      <c r="K6" s="15" t="s">
        <v>13</v>
      </c>
      <c r="L6" s="15">
        <v>194.99</v>
      </c>
      <c r="M6" s="12"/>
      <c r="N6" s="74"/>
    </row>
    <row r="7" spans="1:14" ht="15.75" x14ac:dyDescent="0.25">
      <c r="A7" s="3">
        <v>2</v>
      </c>
      <c r="B7" s="10" t="s">
        <v>37</v>
      </c>
      <c r="C7" s="3">
        <v>638.79999999999995</v>
      </c>
      <c r="D7" s="3">
        <v>1200</v>
      </c>
      <c r="F7" s="23">
        <v>3</v>
      </c>
      <c r="G7" s="3" t="s">
        <v>3</v>
      </c>
      <c r="H7" s="9">
        <v>741</v>
      </c>
      <c r="J7" s="16"/>
      <c r="K7" s="16"/>
      <c r="L7" s="16"/>
      <c r="M7" s="12"/>
      <c r="N7" s="17"/>
    </row>
    <row r="8" spans="1:14" ht="16.5" thickBot="1" x14ac:dyDescent="0.3">
      <c r="A8" s="3"/>
      <c r="B8" s="10"/>
      <c r="C8" s="3"/>
      <c r="D8" s="3"/>
      <c r="F8" s="23">
        <v>4</v>
      </c>
      <c r="G8" s="3" t="s">
        <v>4</v>
      </c>
      <c r="H8" s="3">
        <v>505</v>
      </c>
      <c r="J8" s="72" t="s">
        <v>30</v>
      </c>
      <c r="K8" s="72"/>
      <c r="L8" s="72"/>
      <c r="M8" s="72"/>
      <c r="N8" s="72"/>
    </row>
    <row r="9" spans="1:14" ht="15.75" x14ac:dyDescent="0.25">
      <c r="A9" s="3">
        <v>3</v>
      </c>
      <c r="B9" s="10" t="s">
        <v>38</v>
      </c>
      <c r="C9" s="3"/>
      <c r="D9" s="3"/>
      <c r="F9" s="23">
        <v>5</v>
      </c>
      <c r="G9" s="3" t="s">
        <v>5</v>
      </c>
      <c r="H9" s="9">
        <v>65</v>
      </c>
      <c r="J9" s="15">
        <v>3</v>
      </c>
      <c r="K9" s="15" t="s">
        <v>14</v>
      </c>
      <c r="L9" s="15">
        <v>50</v>
      </c>
      <c r="M9" s="12"/>
      <c r="N9" s="75">
        <v>285.94</v>
      </c>
    </row>
    <row r="10" spans="1:14" ht="16.5" thickBot="1" x14ac:dyDescent="0.3">
      <c r="A10" s="10"/>
      <c r="B10" s="3" t="s">
        <v>39</v>
      </c>
      <c r="C10" s="10">
        <f ca="1">SUM(C9:C10)</f>
        <v>8943.7999999999993</v>
      </c>
      <c r="D10" s="10">
        <f ca="1">SUM(D9:D10)</f>
        <v>10539</v>
      </c>
      <c r="F10" s="23">
        <v>6</v>
      </c>
      <c r="G10" s="3" t="s">
        <v>6</v>
      </c>
      <c r="H10" s="3">
        <v>2759</v>
      </c>
      <c r="J10" s="15">
        <v>4</v>
      </c>
      <c r="K10" s="15" t="s">
        <v>15</v>
      </c>
      <c r="L10" s="15">
        <v>235.94</v>
      </c>
      <c r="M10" s="12"/>
      <c r="N10" s="76"/>
    </row>
    <row r="11" spans="1:14" ht="15.75" x14ac:dyDescent="0.25">
      <c r="A11" s="3"/>
      <c r="B11" s="3"/>
      <c r="E11" s="13"/>
      <c r="F11" s="23">
        <v>7</v>
      </c>
      <c r="G11" s="3" t="s">
        <v>7</v>
      </c>
      <c r="H11" s="3">
        <v>5620</v>
      </c>
      <c r="J11" s="12"/>
      <c r="K11" s="12"/>
      <c r="L11" s="12"/>
      <c r="M11" s="12"/>
      <c r="N11" s="12"/>
    </row>
    <row r="12" spans="1:14" ht="15.75" x14ac:dyDescent="0.25">
      <c r="A12" s="3"/>
      <c r="B12" s="3"/>
      <c r="C12" s="3"/>
      <c r="D12" s="3"/>
      <c r="F12" s="14"/>
      <c r="G12" s="3"/>
      <c r="H12" s="3"/>
      <c r="J12" s="72" t="s">
        <v>35</v>
      </c>
      <c r="K12" s="72"/>
      <c r="L12" s="72"/>
      <c r="M12" s="72"/>
      <c r="N12" s="72"/>
    </row>
    <row r="13" spans="1:14" ht="15.75" x14ac:dyDescent="0.25">
      <c r="A13" s="3">
        <v>4</v>
      </c>
      <c r="B13" s="10" t="s">
        <v>40</v>
      </c>
      <c r="C13" s="3"/>
      <c r="D13" s="3"/>
      <c r="F13" s="14"/>
      <c r="G13" s="4" t="s">
        <v>11</v>
      </c>
      <c r="H13" s="5">
        <f>SUM(H5:H12)</f>
        <v>10539</v>
      </c>
      <c r="J13" s="15">
        <v>5</v>
      </c>
      <c r="K13" s="15" t="s">
        <v>16</v>
      </c>
      <c r="L13" s="15">
        <v>9.6</v>
      </c>
      <c r="M13" s="15"/>
      <c r="N13" s="71">
        <v>64.739999999999995</v>
      </c>
    </row>
    <row r="14" spans="1:14" ht="15.75" x14ac:dyDescent="0.25">
      <c r="A14" s="10"/>
      <c r="B14" s="10" t="s">
        <v>41</v>
      </c>
      <c r="C14" s="10">
        <f ca="1">SUM(C14:C14)</f>
        <v>4693</v>
      </c>
      <c r="D14" s="10">
        <f ca="1">SUM(D14:D14)</f>
        <v>4153</v>
      </c>
      <c r="F14" s="14"/>
      <c r="G14" s="3"/>
      <c r="H14" s="3"/>
      <c r="J14" s="15">
        <v>6</v>
      </c>
      <c r="K14" s="15" t="s">
        <v>17</v>
      </c>
      <c r="L14" s="15">
        <v>9.6</v>
      </c>
      <c r="M14" s="15"/>
      <c r="N14" s="71"/>
    </row>
    <row r="15" spans="1:14" ht="15.75" x14ac:dyDescent="0.25">
      <c r="A15" s="8"/>
      <c r="B15" s="8"/>
      <c r="E15" s="13"/>
      <c r="F15" s="14"/>
      <c r="G15" s="3" t="s">
        <v>8</v>
      </c>
      <c r="H15" s="3">
        <v>7000</v>
      </c>
      <c r="J15" s="15">
        <v>7</v>
      </c>
      <c r="K15" s="18" t="s">
        <v>43</v>
      </c>
      <c r="L15" s="15">
        <v>7.82</v>
      </c>
      <c r="M15" s="15"/>
      <c r="N15" s="71"/>
    </row>
    <row r="16" spans="1:14" x14ac:dyDescent="0.2">
      <c r="F16" s="14"/>
      <c r="G16" s="3" t="s">
        <v>9</v>
      </c>
      <c r="H16" s="3">
        <v>4153</v>
      </c>
      <c r="J16" s="15">
        <v>8</v>
      </c>
      <c r="K16" s="15" t="s">
        <v>18</v>
      </c>
      <c r="L16" s="15">
        <v>24.17</v>
      </c>
      <c r="M16" s="15"/>
      <c r="N16" s="71"/>
    </row>
    <row r="17" spans="1:14" x14ac:dyDescent="0.2">
      <c r="A17" s="8"/>
      <c r="B17" s="8"/>
      <c r="C17" s="8"/>
      <c r="D17" s="8"/>
      <c r="F17" s="14"/>
      <c r="G17" s="3"/>
      <c r="H17" s="3"/>
      <c r="I17" s="8"/>
      <c r="J17" s="15">
        <v>9</v>
      </c>
      <c r="K17" s="15" t="s">
        <v>19</v>
      </c>
      <c r="L17" s="15">
        <v>13.55</v>
      </c>
      <c r="M17" s="15"/>
      <c r="N17" s="71"/>
    </row>
    <row r="18" spans="1:14" x14ac:dyDescent="0.2">
      <c r="A18" s="8"/>
      <c r="B18" s="8"/>
      <c r="C18" s="8"/>
      <c r="D18" s="8"/>
      <c r="F18" s="14"/>
      <c r="G18" s="69"/>
      <c r="H18" s="69"/>
      <c r="I18" s="8"/>
      <c r="J18" s="12"/>
      <c r="K18" s="12"/>
      <c r="L18" s="12"/>
      <c r="M18" s="12"/>
      <c r="N18" s="12"/>
    </row>
    <row r="19" spans="1:14" ht="15.75" x14ac:dyDescent="0.25">
      <c r="A19" s="8"/>
      <c r="B19" s="8"/>
      <c r="C19" s="8"/>
      <c r="D19" s="8"/>
      <c r="F19" s="8"/>
      <c r="G19" s="8"/>
      <c r="H19" s="8"/>
      <c r="I19" s="8"/>
      <c r="J19" s="72" t="s">
        <v>31</v>
      </c>
      <c r="K19" s="72"/>
      <c r="L19" s="72"/>
      <c r="M19" s="72"/>
      <c r="N19" s="72"/>
    </row>
    <row r="20" spans="1:14" x14ac:dyDescent="0.2">
      <c r="A20" s="8"/>
      <c r="B20" s="8"/>
      <c r="C20" s="8"/>
      <c r="D20" s="8"/>
      <c r="F20" s="8"/>
      <c r="G20" s="8"/>
      <c r="H20" s="8"/>
      <c r="I20" s="8"/>
      <c r="J20" s="19">
        <v>10</v>
      </c>
      <c r="K20" s="15" t="s">
        <v>20</v>
      </c>
      <c r="L20" s="15">
        <v>30.77</v>
      </c>
      <c r="M20" s="15"/>
      <c r="N20" s="67">
        <v>170.12</v>
      </c>
    </row>
    <row r="21" spans="1:14" x14ac:dyDescent="0.2">
      <c r="A21" s="8"/>
      <c r="B21" s="8"/>
      <c r="C21" s="8"/>
      <c r="D21" s="8"/>
      <c r="F21" s="8"/>
      <c r="G21" s="8"/>
      <c r="H21" s="8"/>
      <c r="I21" s="8"/>
      <c r="J21" s="19">
        <v>11</v>
      </c>
      <c r="K21" s="15" t="s">
        <v>20</v>
      </c>
      <c r="L21" s="15">
        <v>139.35</v>
      </c>
      <c r="M21" s="15"/>
      <c r="N21" s="67"/>
    </row>
    <row r="22" spans="1:14" x14ac:dyDescent="0.2">
      <c r="A22" s="8"/>
      <c r="B22" s="8"/>
      <c r="C22" s="8"/>
      <c r="D22" s="8"/>
      <c r="F22" s="8"/>
      <c r="G22" s="8"/>
      <c r="H22" s="8"/>
      <c r="I22" s="8"/>
      <c r="J22" s="12"/>
      <c r="K22" s="12"/>
      <c r="L22" s="12"/>
      <c r="M22" s="12"/>
      <c r="N22" s="12"/>
    </row>
    <row r="23" spans="1:14" ht="15.75" x14ac:dyDescent="0.25">
      <c r="A23" s="8"/>
      <c r="B23" s="8"/>
      <c r="C23" s="8"/>
      <c r="D23" s="8"/>
      <c r="F23" s="8"/>
      <c r="G23" s="8"/>
      <c r="H23" s="8"/>
      <c r="I23" s="8"/>
      <c r="J23" s="72" t="s">
        <v>34</v>
      </c>
      <c r="K23" s="72"/>
      <c r="L23" s="72"/>
      <c r="M23" s="72"/>
      <c r="N23" s="72"/>
    </row>
    <row r="24" spans="1:14" x14ac:dyDescent="0.2">
      <c r="A24" s="8"/>
      <c r="B24" s="8"/>
      <c r="C24" s="8"/>
      <c r="D24" s="8"/>
      <c r="F24" s="8"/>
      <c r="G24" s="8"/>
      <c r="H24" s="8"/>
      <c r="I24" s="8"/>
      <c r="J24" s="15">
        <v>12</v>
      </c>
      <c r="K24" s="15" t="s">
        <v>21</v>
      </c>
      <c r="L24" s="15">
        <v>14.12</v>
      </c>
      <c r="M24" s="15"/>
      <c r="N24" s="71">
        <v>740.91</v>
      </c>
    </row>
    <row r="25" spans="1:14" x14ac:dyDescent="0.2">
      <c r="A25" s="8"/>
      <c r="B25" s="8"/>
      <c r="C25" s="8"/>
      <c r="D25" s="8"/>
      <c r="F25" s="8"/>
      <c r="G25" s="8"/>
      <c r="H25" s="8"/>
      <c r="I25" s="8"/>
      <c r="J25" s="15">
        <v>13</v>
      </c>
      <c r="K25" s="15" t="s">
        <v>22</v>
      </c>
      <c r="L25" s="15">
        <v>440.8</v>
      </c>
      <c r="M25" s="15"/>
      <c r="N25" s="71"/>
    </row>
    <row r="26" spans="1:14" x14ac:dyDescent="0.2">
      <c r="A26" s="8"/>
      <c r="B26" s="8"/>
      <c r="C26" s="8"/>
      <c r="D26" s="8"/>
      <c r="F26" s="8"/>
      <c r="G26" s="8"/>
      <c r="H26" s="8"/>
      <c r="I26" s="8"/>
      <c r="J26" s="15">
        <v>14</v>
      </c>
      <c r="K26" s="15" t="s">
        <v>23</v>
      </c>
      <c r="L26" s="15">
        <v>3.58</v>
      </c>
      <c r="M26" s="15"/>
      <c r="N26" s="71"/>
    </row>
    <row r="27" spans="1:14" x14ac:dyDescent="0.2">
      <c r="A27" s="8"/>
      <c r="B27" s="8"/>
      <c r="C27" s="8"/>
      <c r="D27" s="8"/>
      <c r="F27" s="8"/>
      <c r="G27" s="8"/>
      <c r="H27" s="8"/>
      <c r="I27" s="8"/>
      <c r="J27" s="15">
        <v>15</v>
      </c>
      <c r="K27" s="15" t="s">
        <v>24</v>
      </c>
      <c r="L27" s="15">
        <v>282.41000000000003</v>
      </c>
      <c r="M27" s="15"/>
      <c r="N27" s="71"/>
    </row>
    <row r="28" spans="1:14" x14ac:dyDescent="0.2">
      <c r="A28" s="8"/>
      <c r="B28" s="8"/>
      <c r="C28" s="8"/>
      <c r="D28" s="8"/>
      <c r="F28" s="8"/>
      <c r="G28" s="8"/>
      <c r="H28" s="8"/>
      <c r="I28" s="8"/>
      <c r="J28" s="12"/>
      <c r="K28" s="12"/>
      <c r="L28" s="12"/>
      <c r="M28" s="12"/>
      <c r="N28" s="12"/>
    </row>
    <row r="29" spans="1:14" ht="15.75" x14ac:dyDescent="0.25">
      <c r="A29" s="8"/>
      <c r="B29" s="8"/>
      <c r="C29" s="8"/>
      <c r="D29" s="8"/>
      <c r="F29" s="8"/>
      <c r="G29" s="8"/>
      <c r="H29" s="8"/>
      <c r="I29" s="8"/>
      <c r="J29" s="72" t="s">
        <v>32</v>
      </c>
      <c r="K29" s="72"/>
      <c r="L29" s="72"/>
      <c r="M29" s="72"/>
      <c r="N29" s="72"/>
    </row>
    <row r="30" spans="1:14" x14ac:dyDescent="0.2">
      <c r="A30" s="8"/>
      <c r="B30" s="8"/>
      <c r="C30" s="8"/>
      <c r="D30" s="8"/>
      <c r="F30" s="8"/>
      <c r="G30" s="8"/>
      <c r="H30" s="8"/>
      <c r="I30" s="8"/>
      <c r="J30" s="15">
        <v>16</v>
      </c>
      <c r="K30" s="15" t="s">
        <v>25</v>
      </c>
      <c r="L30" s="15">
        <v>188.73</v>
      </c>
      <c r="M30" s="15"/>
      <c r="N30" s="67">
        <v>3328.3</v>
      </c>
    </row>
    <row r="31" spans="1:14" x14ac:dyDescent="0.2">
      <c r="A31" s="8"/>
      <c r="B31" s="8"/>
      <c r="C31" s="8"/>
      <c r="D31" s="8"/>
      <c r="F31" s="8"/>
      <c r="G31" s="8"/>
      <c r="H31" s="8"/>
      <c r="I31" s="8"/>
      <c r="J31" s="15">
        <v>17</v>
      </c>
      <c r="K31" s="15" t="s">
        <v>26</v>
      </c>
      <c r="L31" s="15">
        <v>1357.85</v>
      </c>
      <c r="M31" s="15"/>
      <c r="N31" s="67"/>
    </row>
    <row r="32" spans="1:14" x14ac:dyDescent="0.2">
      <c r="A32" s="8"/>
      <c r="B32" s="8"/>
      <c r="C32" s="8"/>
      <c r="D32" s="8"/>
      <c r="F32" s="8"/>
      <c r="G32" s="8"/>
      <c r="H32" s="8"/>
      <c r="I32" s="8"/>
      <c r="J32" s="15">
        <v>18</v>
      </c>
      <c r="K32" s="15" t="s">
        <v>27</v>
      </c>
      <c r="L32" s="15">
        <v>18</v>
      </c>
      <c r="M32" s="15"/>
      <c r="N32" s="67"/>
    </row>
    <row r="33" spans="1:14" x14ac:dyDescent="0.2">
      <c r="A33" s="8"/>
      <c r="B33" s="8"/>
      <c r="C33" s="8"/>
      <c r="D33" s="8"/>
      <c r="F33" s="8"/>
      <c r="G33" s="8"/>
      <c r="H33" s="8"/>
      <c r="I33" s="8"/>
      <c r="J33" s="15">
        <v>19</v>
      </c>
      <c r="K33" s="15" t="s">
        <v>28</v>
      </c>
      <c r="L33" s="15">
        <v>1744.62</v>
      </c>
      <c r="M33" s="15"/>
      <c r="N33" s="67"/>
    </row>
    <row r="34" spans="1:14" x14ac:dyDescent="0.2">
      <c r="J34" s="15">
        <v>20</v>
      </c>
      <c r="K34" s="15" t="s">
        <v>29</v>
      </c>
      <c r="L34" s="15">
        <v>19.079999999999998</v>
      </c>
      <c r="M34" s="15"/>
      <c r="N34" s="67"/>
    </row>
    <row r="35" spans="1:14" x14ac:dyDescent="0.2">
      <c r="J35" s="12"/>
      <c r="K35" s="12"/>
      <c r="L35" s="12"/>
      <c r="M35" s="12"/>
      <c r="N35" s="12"/>
    </row>
    <row r="36" spans="1:14" ht="15.75" x14ac:dyDescent="0.25">
      <c r="J36" s="12"/>
      <c r="K36" s="12"/>
      <c r="L36" s="20">
        <f>SUM(L5:L35)</f>
        <v>4796.5</v>
      </c>
      <c r="M36" s="12"/>
      <c r="N36" s="20">
        <f>SUM(N5:N35)</f>
        <v>4796.5200000000004</v>
      </c>
    </row>
  </sheetData>
  <mergeCells count="18">
    <mergeCell ref="N24:N27"/>
    <mergeCell ref="J29:N29"/>
    <mergeCell ref="A1:D2"/>
    <mergeCell ref="F1:H2"/>
    <mergeCell ref="J1:N2"/>
    <mergeCell ref="N30:N34"/>
    <mergeCell ref="J3:N3"/>
    <mergeCell ref="G18:H18"/>
    <mergeCell ref="F3:H3"/>
    <mergeCell ref="N13:N17"/>
    <mergeCell ref="J4:N4"/>
    <mergeCell ref="N5:N6"/>
    <mergeCell ref="J8:N8"/>
    <mergeCell ref="N9:N10"/>
    <mergeCell ref="J12:N12"/>
    <mergeCell ref="J19:N19"/>
    <mergeCell ref="N20:N21"/>
    <mergeCell ref="J23:N2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"/>
  <sheetViews>
    <sheetView topLeftCell="A7" workbookViewId="0">
      <selection activeCell="C6" sqref="C6"/>
    </sheetView>
  </sheetViews>
  <sheetFormatPr defaultRowHeight="15" x14ac:dyDescent="0.2"/>
  <cols>
    <col min="1" max="1" width="7.140625" style="1" customWidth="1"/>
    <col min="2" max="2" width="68.42578125" style="1" bestFit="1" customWidth="1"/>
    <col min="3" max="3" width="9.140625" style="1"/>
    <col min="4" max="4" width="32" style="1" bestFit="1" customWidth="1"/>
    <col min="5" max="16384" width="9.140625" style="1"/>
  </cols>
  <sheetData>
    <row r="1" spans="1:4" ht="30" customHeight="1" x14ac:dyDescent="0.2">
      <c r="A1" s="64" t="s">
        <v>98</v>
      </c>
      <c r="B1" s="64"/>
      <c r="C1" s="64"/>
      <c r="D1" s="64"/>
    </row>
    <row r="2" spans="1:4" ht="15.75" x14ac:dyDescent="0.25">
      <c r="A2" s="24">
        <v>1</v>
      </c>
      <c r="B2" s="2" t="s">
        <v>8</v>
      </c>
    </row>
    <row r="3" spans="1:4" ht="32.25" customHeight="1" x14ac:dyDescent="0.2">
      <c r="A3" s="25" t="s">
        <v>45</v>
      </c>
      <c r="B3" s="77" t="s">
        <v>96</v>
      </c>
      <c r="C3" s="77"/>
      <c r="D3" s="77"/>
    </row>
    <row r="4" spans="1:4" x14ac:dyDescent="0.2">
      <c r="A4" s="25" t="s">
        <v>46</v>
      </c>
      <c r="B4" s="1" t="s">
        <v>85</v>
      </c>
    </row>
    <row r="5" spans="1:4" x14ac:dyDescent="0.2">
      <c r="A5" s="25" t="s">
        <v>47</v>
      </c>
      <c r="B5" s="1" t="s">
        <v>86</v>
      </c>
    </row>
    <row r="6" spans="1:4" x14ac:dyDescent="0.2">
      <c r="A6" s="25" t="s">
        <v>48</v>
      </c>
      <c r="B6" s="1" t="s">
        <v>87</v>
      </c>
    </row>
    <row r="7" spans="1:4" x14ac:dyDescent="0.2">
      <c r="A7" s="25"/>
    </row>
    <row r="8" spans="1:4" ht="15.75" x14ac:dyDescent="0.25">
      <c r="A8" s="62">
        <v>2</v>
      </c>
      <c r="B8" s="10" t="s">
        <v>0</v>
      </c>
      <c r="C8" s="62" t="s">
        <v>10</v>
      </c>
      <c r="D8" s="3"/>
    </row>
    <row r="9" spans="1:4" x14ac:dyDescent="0.2">
      <c r="A9" s="63" t="s">
        <v>45</v>
      </c>
      <c r="B9" s="3" t="s">
        <v>1</v>
      </c>
      <c r="C9" s="9">
        <v>207</v>
      </c>
      <c r="D9" s="61" t="s">
        <v>52</v>
      </c>
    </row>
    <row r="10" spans="1:4" x14ac:dyDescent="0.2">
      <c r="A10" s="63" t="s">
        <v>46</v>
      </c>
      <c r="B10" s="3" t="s">
        <v>2</v>
      </c>
      <c r="C10" s="3">
        <v>642</v>
      </c>
      <c r="D10" s="61" t="s">
        <v>53</v>
      </c>
    </row>
    <row r="11" spans="1:4" x14ac:dyDescent="0.2">
      <c r="A11" s="63" t="s">
        <v>47</v>
      </c>
      <c r="B11" s="3" t="s">
        <v>3</v>
      </c>
      <c r="C11" s="9">
        <v>741</v>
      </c>
      <c r="D11" s="61" t="s">
        <v>52</v>
      </c>
    </row>
    <row r="12" spans="1:4" x14ac:dyDescent="0.2">
      <c r="A12" s="63" t="s">
        <v>48</v>
      </c>
      <c r="B12" s="3" t="s">
        <v>4</v>
      </c>
      <c r="C12" s="3">
        <v>505</v>
      </c>
      <c r="D12" s="61" t="s">
        <v>53</v>
      </c>
    </row>
    <row r="13" spans="1:4" x14ac:dyDescent="0.2">
      <c r="A13" s="63" t="s">
        <v>49</v>
      </c>
      <c r="B13" s="3" t="s">
        <v>5</v>
      </c>
      <c r="C13" s="9">
        <v>65</v>
      </c>
      <c r="D13" s="61" t="s">
        <v>52</v>
      </c>
    </row>
    <row r="14" spans="1:4" x14ac:dyDescent="0.2">
      <c r="A14" s="63" t="s">
        <v>50</v>
      </c>
      <c r="B14" s="3" t="s">
        <v>6</v>
      </c>
      <c r="C14" s="3">
        <v>2759</v>
      </c>
      <c r="D14" s="61" t="s">
        <v>53</v>
      </c>
    </row>
    <row r="15" spans="1:4" x14ac:dyDescent="0.2">
      <c r="A15" s="63" t="s">
        <v>51</v>
      </c>
      <c r="B15" s="3" t="s">
        <v>7</v>
      </c>
      <c r="C15" s="3">
        <v>5620</v>
      </c>
      <c r="D15" s="61" t="s">
        <v>53</v>
      </c>
    </row>
    <row r="16" spans="1:4" x14ac:dyDescent="0.2">
      <c r="A16" s="25"/>
      <c r="B16" s="8"/>
      <c r="C16" s="8"/>
      <c r="D16" s="26"/>
    </row>
    <row r="17" spans="1:4" x14ac:dyDescent="0.2">
      <c r="A17" s="25" t="s">
        <v>54</v>
      </c>
      <c r="B17" s="1" t="s">
        <v>59</v>
      </c>
    </row>
    <row r="18" spans="1:4" x14ac:dyDescent="0.2">
      <c r="A18" s="25" t="s">
        <v>55</v>
      </c>
      <c r="B18" s="1" t="s">
        <v>57</v>
      </c>
    </row>
    <row r="19" spans="1:4" x14ac:dyDescent="0.2">
      <c r="A19" s="25" t="s">
        <v>56</v>
      </c>
      <c r="B19" s="1" t="s">
        <v>58</v>
      </c>
    </row>
    <row r="20" spans="1:4" x14ac:dyDescent="0.2">
      <c r="A20" s="25" t="s">
        <v>88</v>
      </c>
      <c r="B20" s="1" t="s">
        <v>89</v>
      </c>
    </row>
    <row r="21" spans="1:4" x14ac:dyDescent="0.2">
      <c r="A21" s="25" t="s">
        <v>90</v>
      </c>
      <c r="B21" s="1" t="s">
        <v>91</v>
      </c>
    </row>
    <row r="22" spans="1:4" x14ac:dyDescent="0.2">
      <c r="A22" s="25"/>
    </row>
    <row r="23" spans="1:4" x14ac:dyDescent="0.2">
      <c r="A23" s="25"/>
    </row>
    <row r="24" spans="1:4" ht="15.75" x14ac:dyDescent="0.25">
      <c r="A24" s="24">
        <v>3</v>
      </c>
      <c r="B24" s="2" t="s">
        <v>37</v>
      </c>
    </row>
    <row r="25" spans="1:4" ht="33.75" customHeight="1" x14ac:dyDescent="0.2">
      <c r="A25" s="25" t="s">
        <v>45</v>
      </c>
      <c r="B25" s="77" t="s">
        <v>97</v>
      </c>
      <c r="C25" s="77"/>
      <c r="D25" s="77"/>
    </row>
    <row r="26" spans="1:4" x14ac:dyDescent="0.2">
      <c r="A26" s="25" t="s">
        <v>46</v>
      </c>
      <c r="B26" s="77" t="s">
        <v>92</v>
      </c>
      <c r="C26" s="77"/>
      <c r="D26" s="77"/>
    </row>
    <row r="27" spans="1:4" x14ac:dyDescent="0.2">
      <c r="A27" s="25" t="s">
        <v>47</v>
      </c>
      <c r="B27" s="1" t="s">
        <v>86</v>
      </c>
    </row>
    <row r="28" spans="1:4" x14ac:dyDescent="0.2">
      <c r="A28" s="25" t="s">
        <v>48</v>
      </c>
      <c r="B28" s="1" t="s">
        <v>87</v>
      </c>
    </row>
  </sheetData>
  <mergeCells count="4">
    <mergeCell ref="B3:D3"/>
    <mergeCell ref="B25:D25"/>
    <mergeCell ref="B26:D26"/>
    <mergeCell ref="A1:D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8"/>
  <sheetViews>
    <sheetView workbookViewId="0">
      <selection activeCell="C2" sqref="C2"/>
    </sheetView>
  </sheetViews>
  <sheetFormatPr defaultRowHeight="14.25" x14ac:dyDescent="0.2"/>
  <cols>
    <col min="1" max="1" width="6.28515625" style="58" customWidth="1"/>
    <col min="2" max="2" width="10.7109375" style="58" customWidth="1"/>
    <col min="3" max="3" width="16.5703125" style="58" customWidth="1"/>
    <col min="4" max="4" width="13.85546875" style="58" customWidth="1"/>
    <col min="5" max="5" width="16.140625" style="58" bestFit="1" customWidth="1"/>
    <col min="6" max="16384" width="9.140625" style="58"/>
  </cols>
  <sheetData>
    <row r="1" spans="2:5" x14ac:dyDescent="0.2">
      <c r="B1" s="59"/>
      <c r="C1" s="60" t="s">
        <v>82</v>
      </c>
      <c r="D1" s="60" t="s">
        <v>83</v>
      </c>
      <c r="E1" s="59" t="s">
        <v>84</v>
      </c>
    </row>
    <row r="2" spans="2:5" x14ac:dyDescent="0.2">
      <c r="B2" s="59" t="s">
        <v>0</v>
      </c>
      <c r="C2" s="60">
        <v>241</v>
      </c>
      <c r="D2" s="60">
        <v>21</v>
      </c>
      <c r="E2" s="60"/>
    </row>
    <row r="3" spans="2:5" x14ac:dyDescent="0.2">
      <c r="B3" s="59"/>
      <c r="C3" s="60"/>
      <c r="D3" s="60"/>
      <c r="E3" s="60"/>
    </row>
    <row r="4" spans="2:5" x14ac:dyDescent="0.2">
      <c r="B4" s="59" t="s">
        <v>8</v>
      </c>
      <c r="C4" s="60">
        <v>3</v>
      </c>
      <c r="D4" s="60">
        <v>3</v>
      </c>
      <c r="E4" s="60">
        <v>14</v>
      </c>
    </row>
    <row r="5" spans="2:5" x14ac:dyDescent="0.2">
      <c r="B5" s="59"/>
      <c r="C5" s="60"/>
      <c r="D5" s="60"/>
      <c r="E5" s="60"/>
    </row>
    <row r="6" spans="2:5" x14ac:dyDescent="0.2">
      <c r="B6" s="59" t="s">
        <v>37</v>
      </c>
      <c r="C6" s="60"/>
      <c r="D6" s="60"/>
      <c r="E6" s="60"/>
    </row>
    <row r="7" spans="2:5" x14ac:dyDescent="0.2">
      <c r="B7" s="59"/>
      <c r="C7" s="60"/>
      <c r="D7" s="60"/>
      <c r="E7" s="60"/>
    </row>
    <row r="8" spans="2:5" x14ac:dyDescent="0.2">
      <c r="B8" s="59" t="s">
        <v>81</v>
      </c>
      <c r="C8" s="60"/>
      <c r="D8" s="60"/>
      <c r="E8" s="6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"/>
  <sheetViews>
    <sheetView tabSelected="1" workbookViewId="0">
      <pane ySplit="2" topLeftCell="A9" activePane="bottomLeft" state="frozen"/>
      <selection pane="bottomLeft" activeCell="B21" sqref="B21"/>
    </sheetView>
  </sheetViews>
  <sheetFormatPr defaultRowHeight="15" x14ac:dyDescent="0.25"/>
  <cols>
    <col min="2" max="2" width="44.42578125" customWidth="1"/>
    <col min="3" max="3" width="14.28515625" customWidth="1"/>
    <col min="4" max="4" width="11.5703125" bestFit="1" customWidth="1"/>
    <col min="5" max="5" width="15.42578125" customWidth="1"/>
    <col min="6" max="6" width="11.5703125" customWidth="1"/>
    <col min="7" max="7" width="13.5703125" customWidth="1"/>
    <col min="8" max="8" width="12.85546875" customWidth="1"/>
    <col min="9" max="9" width="14" customWidth="1"/>
    <col min="10" max="10" width="11.7109375" customWidth="1"/>
  </cols>
  <sheetData>
    <row r="1" spans="1:10" ht="21.75" customHeight="1" thickBot="1" x14ac:dyDescent="0.3">
      <c r="A1" s="78" t="s">
        <v>61</v>
      </c>
      <c r="B1" s="78"/>
      <c r="C1" s="78"/>
      <c r="D1" s="78"/>
      <c r="E1" s="78"/>
      <c r="F1" s="78"/>
    </row>
    <row r="2" spans="1:10" ht="63.75" thickBot="1" x14ac:dyDescent="0.3">
      <c r="A2" s="27" t="s">
        <v>60</v>
      </c>
      <c r="B2" s="28" t="s">
        <v>61</v>
      </c>
      <c r="C2" s="28" t="s">
        <v>70</v>
      </c>
      <c r="D2" s="28" t="s">
        <v>62</v>
      </c>
      <c r="E2" s="28" t="s">
        <v>63</v>
      </c>
      <c r="F2" s="28" t="s">
        <v>64</v>
      </c>
      <c r="G2" s="28" t="s">
        <v>65</v>
      </c>
      <c r="H2" s="29" t="s">
        <v>66</v>
      </c>
      <c r="I2" s="28" t="s">
        <v>67</v>
      </c>
      <c r="J2" s="29" t="s">
        <v>68</v>
      </c>
    </row>
    <row r="3" spans="1:10" ht="15.75" x14ac:dyDescent="0.25">
      <c r="A3" s="35"/>
      <c r="B3" s="36"/>
      <c r="C3" s="36"/>
      <c r="D3" s="36"/>
      <c r="E3" s="36"/>
      <c r="F3" s="37"/>
      <c r="G3" s="37"/>
      <c r="H3" s="38"/>
      <c r="I3" s="37"/>
      <c r="J3" s="39"/>
    </row>
    <row r="4" spans="1:10" ht="15.75" x14ac:dyDescent="0.25">
      <c r="A4" s="40">
        <v>1</v>
      </c>
      <c r="B4" s="41" t="s">
        <v>69</v>
      </c>
      <c r="C4" s="43">
        <v>7</v>
      </c>
      <c r="D4" s="42"/>
      <c r="E4" s="42"/>
      <c r="F4" s="43">
        <v>150</v>
      </c>
      <c r="G4" s="43"/>
      <c r="H4" s="44"/>
      <c r="I4" s="43"/>
      <c r="J4" s="45"/>
    </row>
    <row r="5" spans="1:10" ht="15.75" x14ac:dyDescent="0.25">
      <c r="A5" s="40">
        <v>2</v>
      </c>
      <c r="B5" s="41" t="s">
        <v>71</v>
      </c>
      <c r="C5" s="43">
        <v>4</v>
      </c>
      <c r="D5" s="42"/>
      <c r="E5" s="42"/>
      <c r="F5" s="43">
        <v>120</v>
      </c>
      <c r="G5" s="43"/>
      <c r="H5" s="44"/>
      <c r="I5" s="43"/>
      <c r="J5" s="45"/>
    </row>
    <row r="6" spans="1:10" ht="15.75" x14ac:dyDescent="0.25">
      <c r="A6" s="40">
        <v>3</v>
      </c>
      <c r="B6" s="41" t="s">
        <v>72</v>
      </c>
      <c r="C6" s="43">
        <v>7</v>
      </c>
      <c r="D6" s="42"/>
      <c r="E6" s="42"/>
      <c r="F6" s="43">
        <v>120</v>
      </c>
      <c r="G6" s="43"/>
      <c r="H6" s="44"/>
      <c r="I6" s="43"/>
      <c r="J6" s="45"/>
    </row>
    <row r="7" spans="1:10" ht="15.75" x14ac:dyDescent="0.25">
      <c r="A7" s="40">
        <v>4</v>
      </c>
      <c r="B7" s="41" t="s">
        <v>73</v>
      </c>
      <c r="C7" s="43">
        <v>5</v>
      </c>
      <c r="D7" s="42"/>
      <c r="E7" s="42"/>
      <c r="F7" s="43">
        <v>90</v>
      </c>
      <c r="G7" s="43"/>
      <c r="H7" s="44"/>
      <c r="I7" s="43"/>
      <c r="J7" s="45"/>
    </row>
    <row r="8" spans="1:10" ht="15.75" x14ac:dyDescent="0.25">
      <c r="A8" s="40">
        <v>5</v>
      </c>
      <c r="B8" s="41" t="s">
        <v>74</v>
      </c>
      <c r="C8" s="43">
        <v>5</v>
      </c>
      <c r="D8" s="42"/>
      <c r="E8" s="42"/>
      <c r="F8" s="43">
        <v>120</v>
      </c>
      <c r="G8" s="42"/>
      <c r="H8" s="44"/>
      <c r="I8" s="43"/>
      <c r="J8" s="45"/>
    </row>
    <row r="9" spans="1:10" ht="15.75" x14ac:dyDescent="0.25">
      <c r="A9" s="40">
        <v>6</v>
      </c>
      <c r="B9" s="41" t="s">
        <v>75</v>
      </c>
      <c r="C9" s="43">
        <v>7</v>
      </c>
      <c r="D9" s="42"/>
      <c r="E9" s="42"/>
      <c r="F9" s="43">
        <v>120</v>
      </c>
      <c r="G9" s="42"/>
      <c r="H9" s="44"/>
      <c r="I9" s="43"/>
      <c r="J9" s="45"/>
    </row>
    <row r="10" spans="1:10" ht="16.5" thickBot="1" x14ac:dyDescent="0.3">
      <c r="A10" s="46">
        <v>7</v>
      </c>
      <c r="B10" s="47" t="s">
        <v>76</v>
      </c>
      <c r="C10" s="43">
        <v>7</v>
      </c>
      <c r="D10" s="48"/>
      <c r="E10" s="48"/>
      <c r="F10" s="43">
        <v>120</v>
      </c>
      <c r="G10" s="48"/>
      <c r="H10" s="50"/>
      <c r="I10" s="49"/>
      <c r="J10" s="51"/>
    </row>
    <row r="11" spans="1:10" ht="16.5" thickBot="1" x14ac:dyDescent="0.3">
      <c r="A11" s="52"/>
      <c r="B11" s="53"/>
      <c r="C11" s="54"/>
      <c r="D11" s="54"/>
      <c r="E11" s="54"/>
      <c r="F11" s="55"/>
      <c r="G11" s="54"/>
      <c r="H11" s="56"/>
      <c r="I11" s="55"/>
      <c r="J11" s="57"/>
    </row>
    <row r="12" spans="1:10" ht="15.75" x14ac:dyDescent="0.25">
      <c r="A12" s="35"/>
      <c r="B12" s="36" t="s">
        <v>77</v>
      </c>
      <c r="C12" s="36"/>
      <c r="D12" s="36"/>
      <c r="E12" s="36"/>
      <c r="F12" s="37"/>
      <c r="G12" s="37"/>
      <c r="H12" s="38"/>
      <c r="I12" s="37"/>
      <c r="J12" s="39"/>
    </row>
    <row r="13" spans="1:10" ht="15.75" x14ac:dyDescent="0.25">
      <c r="A13" s="40">
        <v>1</v>
      </c>
      <c r="B13" s="41" t="s">
        <v>78</v>
      </c>
      <c r="C13" s="42"/>
      <c r="D13" s="42"/>
      <c r="E13" s="42"/>
      <c r="F13" s="43"/>
      <c r="G13" s="43"/>
      <c r="H13" s="44"/>
      <c r="I13" s="43"/>
      <c r="J13" s="45"/>
    </row>
    <row r="14" spans="1:10" ht="15.75" x14ac:dyDescent="0.25">
      <c r="A14" s="40">
        <v>2</v>
      </c>
      <c r="B14" s="41" t="s">
        <v>79</v>
      </c>
      <c r="C14" s="42"/>
      <c r="D14" s="42"/>
      <c r="E14" s="42"/>
      <c r="F14" s="43"/>
      <c r="G14" s="43"/>
      <c r="H14" s="44"/>
      <c r="I14" s="43"/>
      <c r="J14" s="45"/>
    </row>
    <row r="15" spans="1:10" ht="16.5" thickBot="1" x14ac:dyDescent="0.3">
      <c r="A15" s="46">
        <v>3</v>
      </c>
      <c r="B15" s="47" t="s">
        <v>80</v>
      </c>
      <c r="C15" s="48"/>
      <c r="D15" s="48"/>
      <c r="E15" s="48"/>
      <c r="F15" s="49"/>
      <c r="G15" s="49"/>
      <c r="H15" s="50"/>
      <c r="I15" s="49"/>
      <c r="J15" s="51"/>
    </row>
    <row r="16" spans="1:10" ht="16.5" thickBot="1" x14ac:dyDescent="0.3">
      <c r="A16" s="52"/>
      <c r="B16" s="53"/>
      <c r="C16" s="54"/>
      <c r="D16" s="54"/>
      <c r="E16" s="54"/>
      <c r="F16" s="55"/>
      <c r="G16" s="54"/>
      <c r="H16" s="56"/>
      <c r="I16" s="55"/>
      <c r="J16" s="57"/>
    </row>
    <row r="17" spans="1:10" ht="15.75" x14ac:dyDescent="0.25">
      <c r="A17" s="35"/>
      <c r="B17" s="36"/>
      <c r="C17" s="36"/>
      <c r="D17" s="36"/>
      <c r="E17" s="36"/>
      <c r="F17" s="37"/>
      <c r="G17" s="37"/>
      <c r="H17" s="38"/>
      <c r="I17" s="37"/>
      <c r="J17" s="39"/>
    </row>
    <row r="18" spans="1:10" ht="16.5" thickBot="1" x14ac:dyDescent="0.3">
      <c r="A18" s="46"/>
      <c r="B18" s="47"/>
      <c r="C18" s="48"/>
      <c r="D18" s="48"/>
      <c r="E18" s="48"/>
      <c r="F18" s="49"/>
      <c r="G18" s="49"/>
      <c r="H18" s="50"/>
      <c r="I18" s="49"/>
      <c r="J18" s="51"/>
    </row>
    <row r="19" spans="1:10" ht="16.5" thickBot="1" x14ac:dyDescent="0.3">
      <c r="A19" s="52"/>
      <c r="B19" s="53"/>
      <c r="C19" s="54"/>
      <c r="D19" s="54"/>
      <c r="E19" s="54"/>
      <c r="F19" s="55"/>
      <c r="G19" s="55"/>
      <c r="H19" s="56"/>
      <c r="I19" s="55"/>
      <c r="J19" s="57"/>
    </row>
    <row r="20" spans="1:10" ht="15.75" x14ac:dyDescent="0.25">
      <c r="A20" s="30"/>
      <c r="B20" s="31"/>
      <c r="C20" s="31"/>
      <c r="D20" s="31"/>
      <c r="E20" s="31"/>
      <c r="F20" s="32"/>
      <c r="G20" s="33"/>
      <c r="H20" s="33"/>
      <c r="I20" s="32"/>
      <c r="J20" s="34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Comparison of Flow </vt:lpstr>
      <vt:lpstr>Requirement</vt:lpstr>
      <vt:lpstr>Addition &amp; Deletion</vt:lpstr>
      <vt:lpstr>Long Lead 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2025-11-03T11:15:43Z</dcterms:modified>
</cp:coreProperties>
</file>